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bilans_uspejhatxt" localSheetId="0">Sheet1!$A$1:$C$93</definedName>
  </definedNames>
  <calcPr calcId="145621"/>
</workbook>
</file>

<file path=xl/calcChain.xml><?xml version="1.0" encoding="utf-8"?>
<calcChain xmlns="http://schemas.openxmlformats.org/spreadsheetml/2006/main">
  <c r="B91" i="1" l="1"/>
</calcChain>
</file>

<file path=xl/connections.xml><?xml version="1.0" encoding="utf-8"?>
<connections xmlns="http://schemas.openxmlformats.org/spreadsheetml/2006/main">
  <connection id="1" name="bilans uspejhatxt" type="6" refreshedVersion="4" background="1" saveData="1">
    <textPr codePage="852" sourceFile="C:\Users\User\OneDrive\Radna površina\bilans uspejhatxt.txt">
      <textFields count="3">
        <textField type="text"/>
        <textField/>
        <textField/>
      </textFields>
    </textPr>
  </connection>
</connections>
</file>

<file path=xl/sharedStrings.xml><?xml version="1.0" encoding="utf-8"?>
<sst xmlns="http://schemas.openxmlformats.org/spreadsheetml/2006/main" count="204" uniqueCount="92">
  <si>
    <t>Pozicija</t>
  </si>
  <si>
    <t xml:space="preserve"> </t>
  </si>
  <si>
    <t xml:space="preserve">II POSLOVNI RASHODI (220 + 221 + 222 + 223 + 226 + 227 + 234 + 235 + 236) </t>
  </si>
  <si>
    <t xml:space="preserve">a) Amortizacija nekretnina, postrojenja i opreme </t>
  </si>
  <si>
    <t xml:space="preserve">b) Amortizacija investicionih nekretnina </t>
  </si>
  <si>
    <t xml:space="preserve">c) Amortizacija sredstava uzetih u zakup </t>
  </si>
  <si>
    <t xml:space="preserve">d) Amortizacija ostalih sredstava </t>
  </si>
  <si>
    <t xml:space="preserve">II FINANSIJSKI RASHODI (245 do 248) </t>
  </si>
  <si>
    <t xml:space="preserve">II OSTALI RASHODI I GUBICI (262 do 270) </t>
  </si>
  <si>
    <t xml:space="preserve">UKUPNI PRIHODI (201+239+251+273+301+303) </t>
  </si>
  <si>
    <t xml:space="preserve">UKUPNI RASHODI (219+244+261+286+302+304) </t>
  </si>
  <si>
    <t xml:space="preserve">a) Troškovi bruto plata i bruto naknada plata </t>
  </si>
  <si>
    <t xml:space="preserve">b) Troškovi ostalih ličnih primanja </t>
  </si>
  <si>
    <t xml:space="preserve">II RASHODI OD USKLAĐIVANJA VRIJEDNOSTI IMOVINE (287 + 294) </t>
  </si>
  <si>
    <t xml:space="preserve">Udio u dobiti pridruženog društva i zajedničkog poduhvata primjenom metode udjela </t>
  </si>
  <si>
    <t xml:space="preserve">Udio u gubitku pridruženog društva i zajedničkog poduhvata primjenom metode udjela </t>
  </si>
  <si>
    <t xml:space="preserve">A POSLOVNI PRIHODI I RASHODI I POSLOVNI PRIHODI (202 + 206 + 210 + 214 - 215 + 216 - 217 + 218) </t>
  </si>
  <si>
    <t xml:space="preserve">1 Prihodi od prodaje robe (203 do 205) </t>
  </si>
  <si>
    <t xml:space="preserve">2 Prihodi od prodaje proizvoda (207 do 209) </t>
  </si>
  <si>
    <t xml:space="preserve">3 Prihodi od pruženih usluga (211 do 213) </t>
  </si>
  <si>
    <t xml:space="preserve">4 Povećanje vrijednosti zaliha učinaka </t>
  </si>
  <si>
    <t xml:space="preserve">5 Smanjenje vrijednosti zaliha učinaka </t>
  </si>
  <si>
    <t xml:space="preserve">6 Povećanje vrijednosti investicionih nekretnina i bioloških sredstava koja se ne amortizuju </t>
  </si>
  <si>
    <t xml:space="preserve">7  Smanjenje vrijednosti investicionih nekretnina i bioloških sredstava koja se ne amortizuju </t>
  </si>
  <si>
    <t xml:space="preserve">8 Ostali poslovni prihodi </t>
  </si>
  <si>
    <t xml:space="preserve">1 Nabavna vrijednost prodate robe </t>
  </si>
  <si>
    <t xml:space="preserve">2 Troškovi materijala </t>
  </si>
  <si>
    <t xml:space="preserve">3 Troškovi goriva i energije </t>
  </si>
  <si>
    <t xml:space="preserve">4 Troškovi plata, naknada plata i ostalih ličnih primanja (224 + 225) </t>
  </si>
  <si>
    <t xml:space="preserve">5 Troškovi proizvodnih usluga </t>
  </si>
  <si>
    <t xml:space="preserve">6 Troškovi amortizacije i rezervisanja (228 + 233) </t>
  </si>
  <si>
    <t xml:space="preserve">61 Troškovi amortizacije (229 do 232) </t>
  </si>
  <si>
    <t xml:space="preserve">62 Troškovi rezervisanja </t>
  </si>
  <si>
    <t xml:space="preserve">7 Nematerijalni Troškovi (bez poreza i doprinosa) </t>
  </si>
  <si>
    <t xml:space="preserve">8 Troškovi poreza </t>
  </si>
  <si>
    <t xml:space="preserve">9 Troškovi doprinosa </t>
  </si>
  <si>
    <t xml:space="preserve">B POSLOVNI DOBITAK (201 - 219) </t>
  </si>
  <si>
    <t xml:space="preserve">V POSLOVNI GUBITAK (219 - 201) </t>
  </si>
  <si>
    <t xml:space="preserve">G FINANSIJSKI PRIHODI I RASHODI I FINANSIJSKI PRIHODI (240 do 243) </t>
  </si>
  <si>
    <t xml:space="preserve">1   Prihodi od kamata </t>
  </si>
  <si>
    <t xml:space="preserve">2   Pozitivne kursne razlike </t>
  </si>
  <si>
    <t xml:space="preserve">3   Prihodi od efekata valutne klauzule </t>
  </si>
  <si>
    <t xml:space="preserve">4   Ostali finansijski prihodi </t>
  </si>
  <si>
    <t xml:space="preserve">1 Rashodi kamata </t>
  </si>
  <si>
    <t xml:space="preserve">2 Negativne kursne razlike </t>
  </si>
  <si>
    <t xml:space="preserve">3 Rashodi po osnovu valutne klauzule </t>
  </si>
  <si>
    <t xml:space="preserve">4 Ostali finansijski rashodi </t>
  </si>
  <si>
    <t xml:space="preserve">D DOBITAK REDOVNE AKTIVNOSTI (237 + 239 - 244) ili (239-244-238) </t>
  </si>
  <si>
    <t xml:space="preserve">─É GUBITAK REDOVNE AKTIVNOSTI (238 + 244 -239) ili (244-239-237) </t>
  </si>
  <si>
    <t xml:space="preserve">E OSTALI DOBICI I GUBICI I OSTALI PRIHODI I DOBICI (252 do 260) </t>
  </si>
  <si>
    <t xml:space="preserve">1 Neto dobici po osnovu prodaje nematerijalnih sredstava, nekretnina, postrojenja i opreme </t>
  </si>
  <si>
    <t xml:space="preserve">2 Neto dobici po osnovu prodaje investicionih nekretnina </t>
  </si>
  <si>
    <t xml:space="preserve">3 Neto dobici po osnovu prodaje bioloških sredstava </t>
  </si>
  <si>
    <t xml:space="preserve">4 Neto dobici po osnovu prodaje stalnih sredstava namijenjenih prodaji i sredstava poslovanja koje se obustavlja </t>
  </si>
  <si>
    <t xml:space="preserve">5 Neto dobici po osnovu prodaje finansijskih sredstava i ulaganja u povezana lica </t>
  </si>
  <si>
    <t xml:space="preserve">6 Neto dobici po osnovu prodaje materijala </t>
  </si>
  <si>
    <t xml:space="preserve">7 Viškovi </t>
  </si>
  <si>
    <t xml:space="preserve">8 Ostali prihodi i dobici </t>
  </si>
  <si>
    <t xml:space="preserve">9  Neto dobici od derivatnih finansijskih instrumenata </t>
  </si>
  <si>
    <t xml:space="preserve">1 Neto gubici po osnovu otuđenja nematerijalnih sredstava, nekretnina, postrojenja i opreme </t>
  </si>
  <si>
    <t xml:space="preserve">2 Neto gubici po osnovu otuđenja investicionih nekretnina </t>
  </si>
  <si>
    <t xml:space="preserve">3 Neto gubici po osnovu otuđenja bioloških sredstava </t>
  </si>
  <si>
    <t xml:space="preserve">4 Neto gubici po osnovu otuđenja stalnih sredstava namijenjenih prodaji i sredstava poslovanja koje se obustavlja </t>
  </si>
  <si>
    <t xml:space="preserve">5 Neto gubici od otuđenja finansijskih sredstava i ulaganja u povezana lica </t>
  </si>
  <si>
    <t xml:space="preserve">6 Neto gubici po osnovu prodaje materijala </t>
  </si>
  <si>
    <t xml:space="preserve">7  Manjkovi </t>
  </si>
  <si>
    <t xml:space="preserve">8 Neto gubici od derivatnih finansijskih instrumenata </t>
  </si>
  <si>
    <t xml:space="preserve">9 Ostali rashodi i gubici </t>
  </si>
  <si>
    <t xml:space="preserve">Z GUBITAK PO OSNOVU OSTALIH PRIHODA I RASHODA (261 - 251) </t>
  </si>
  <si>
    <t xml:space="preserve">I PRIHODI I RASHODI OD USKLAĐIVANJA VRIJEDNOSTI
 IMOVINE I PRIHODI OD USKLAĐIVANJA VRIJEDNOSTI IMOVINE (274 + 281) </t>
  </si>
  <si>
    <t xml:space="preserve">2 Neto dobici od usklađivanja vrijednosti finansijskih sredstava (282 do 285) </t>
  </si>
  <si>
    <t xml:space="preserve">2  Gubici od usklađivanja vrijednosti finansijskih sredstava (295 do 298) </t>
  </si>
  <si>
    <t xml:space="preserve">21 Neto gubici od usklađivanja vrijednosti dugoročnih finansijskih sredstava </t>
  </si>
  <si>
    <t xml:space="preserve">22  Neto gubici od usklađivanja vrijednosti kratkoročnih finansijskih sredstava (osim potraživanja od kupaca) </t>
  </si>
  <si>
    <t xml:space="preserve">23 Neto gubici od usklađivanja vrijednosti potraživanja od kupaca </t>
  </si>
  <si>
    <t xml:space="preserve">24  Neto gubici od usklađivanja vrijednosti ostalih finansijskih sredstava </t>
  </si>
  <si>
    <t xml:space="preserve">J DOBITAK PO OSNOVU USKLAĐIVANJA VRIJEDNOSTI IMOVINE (273 - 286) </t>
  </si>
  <si>
    <t xml:space="preserve">K GUBITAK PO OSNOVU USKLAĐIVANJA VRIJEDNOSTI IMOVINE (286 - 273) </t>
  </si>
  <si>
    <t xml:space="preserve">L Prihodi po osnovu promjene računovodstvenih politika i ispravke grešaka iz ranijih godina </t>
  </si>
  <si>
    <t xml:space="preserve">LJ Rashodi po osnovu promjene računovodstvenih politika i ispravke grešaka iz ranijih godina </t>
  </si>
  <si>
    <t xml:space="preserve">M DOBIT I GUBITAK PRIJE OPOREZIVANJA 1 Dobit prije oporezivanja (305 - 306) </t>
  </si>
  <si>
    <t xml:space="preserve">2 Gubitak prije oporezivanja (306 - 305) </t>
  </si>
  <si>
    <t xml:space="preserve">N TEKUĆI I ODLOŽENI POREZ NA DOBIT 1 Poreski rashodi perioda </t>
  </si>
  <si>
    <t xml:space="preserve">2 Odloženi poreski rashodi (311 + 312) </t>
  </si>
  <si>
    <t xml:space="preserve">3 Odloženi poreski prihodi (314 + 315) </t>
  </si>
  <si>
    <t xml:space="preserve">31 Efekat povećanja Odloženih poreskih sredstava </t>
  </si>
  <si>
    <t xml:space="preserve">32 Efekat smanjenja Odloženih poreskih obaveza </t>
  </si>
  <si>
    <t xml:space="preserve">2 Neto gubitak tekuće godine (308+309+310-313)&gt;0 i 308&gt;0 ili (309+310-307-313)&gt;0 i 307&gt;0 </t>
  </si>
  <si>
    <t xml:space="preserve">Ż DOBITAK PO OSNOVU OSTALIH PRIHODA I RASHODA (251 - 261) </t>
  </si>
  <si>
    <t xml:space="preserve"> Efekat smanjenja Odloženih poreskih sredstava </t>
  </si>
  <si>
    <t xml:space="preserve"> Efekat povećanja Odloženih poreskih obaveza </t>
  </si>
  <si>
    <t xml:space="preserve">NJ NETO DOBIT I NETO GUBITAK PERIODA 
1 Neto dobit tekuće godine (307-309-310+313)&gt;0 i 307&gt;0 ili (313-308-309-310)&gt;0 i 308&gt;0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</si>
</sst>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[$KM-181A]"/>
    <numFmt numFmtId="165" formatCode="#,##0.00\ [$KM-141A]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164" fontId="0" fillId="0" borderId="0" xfId="0" applyNumberFormat="1"/>
    <xf numFmtId="0" fontId="0" fillId="0" borderId="0" xfId="0" applyNumberFormat="1"/>
    <xf numFmtId="165" fontId="0" fillId="0" borderId="1" xfId="0" applyNumberFormat="1" applyBorder="1" applyAlignment="1">
      <alignment horizontal="right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bilans uspejhatx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abSelected="1" topLeftCell="A59" workbookViewId="0">
      <selection sqref="A1:D91"/>
    </sheetView>
  </sheetViews>
  <sheetFormatPr defaultRowHeight="15" x14ac:dyDescent="0.25"/>
  <cols>
    <col min="1" max="1" width="99" customWidth="1"/>
    <col min="2" max="2" width="17.140625" style="3" customWidth="1"/>
    <col min="3" max="3" width="17.5703125" style="3" customWidth="1"/>
    <col min="4" max="4" width="18.28515625" style="3" customWidth="1"/>
    <col min="6" max="6" width="12.140625" customWidth="1"/>
  </cols>
  <sheetData>
    <row r="1" spans="1:6" x14ac:dyDescent="0.25">
      <c r="A1" s="9" t="s">
        <v>0</v>
      </c>
      <c r="B1" s="9">
        <v>2023</v>
      </c>
      <c r="C1" s="8">
        <v>2022</v>
      </c>
      <c r="D1" s="8">
        <v>2021</v>
      </c>
    </row>
    <row r="2" spans="1:6" x14ac:dyDescent="0.25">
      <c r="A2" s="9"/>
      <c r="B2" s="9"/>
      <c r="C2" s="8"/>
      <c r="D2" s="8"/>
    </row>
    <row r="3" spans="1:6" x14ac:dyDescent="0.25">
      <c r="A3" s="4" t="s">
        <v>16</v>
      </c>
      <c r="B3" s="7">
        <v>10943340</v>
      </c>
      <c r="C3" s="7">
        <v>10995011</v>
      </c>
      <c r="D3" s="7">
        <v>7384654</v>
      </c>
    </row>
    <row r="4" spans="1:6" x14ac:dyDescent="0.25">
      <c r="A4" s="1" t="s">
        <v>17</v>
      </c>
      <c r="B4" s="7" t="s">
        <v>1</v>
      </c>
      <c r="C4" s="7" t="s">
        <v>1</v>
      </c>
      <c r="D4" s="7"/>
      <c r="F4" s="5"/>
    </row>
    <row r="5" spans="1:6" x14ac:dyDescent="0.25">
      <c r="A5" s="1" t="s">
        <v>18</v>
      </c>
      <c r="B5" s="7">
        <v>4364253</v>
      </c>
      <c r="C5" s="7">
        <v>5276054</v>
      </c>
      <c r="D5" s="7">
        <v>7336654</v>
      </c>
      <c r="E5" s="5"/>
    </row>
    <row r="6" spans="1:6" x14ac:dyDescent="0.25">
      <c r="A6" s="1" t="s">
        <v>19</v>
      </c>
      <c r="B6" s="7">
        <v>6579087</v>
      </c>
      <c r="C6" s="7">
        <v>5639854</v>
      </c>
      <c r="D6" s="7"/>
      <c r="F6" s="5"/>
    </row>
    <row r="7" spans="1:6" x14ac:dyDescent="0.25">
      <c r="A7" s="1" t="s">
        <v>20</v>
      </c>
      <c r="B7" s="7" t="s">
        <v>1</v>
      </c>
      <c r="C7" s="7" t="s">
        <v>1</v>
      </c>
      <c r="D7" s="7"/>
      <c r="F7" s="6"/>
    </row>
    <row r="8" spans="1:6" x14ac:dyDescent="0.25">
      <c r="A8" s="1" t="s">
        <v>21</v>
      </c>
      <c r="B8" s="7" t="s">
        <v>1</v>
      </c>
      <c r="C8" s="7" t="s">
        <v>1</v>
      </c>
      <c r="D8" s="7"/>
    </row>
    <row r="9" spans="1:6" x14ac:dyDescent="0.25">
      <c r="A9" s="1" t="s">
        <v>22</v>
      </c>
      <c r="B9" s="7" t="s">
        <v>1</v>
      </c>
      <c r="C9" s="7" t="s">
        <v>1</v>
      </c>
      <c r="D9" s="7"/>
    </row>
    <row r="10" spans="1:6" x14ac:dyDescent="0.25">
      <c r="A10" s="1" t="s">
        <v>23</v>
      </c>
      <c r="B10" s="7" t="s">
        <v>1</v>
      </c>
      <c r="C10" s="7" t="s">
        <v>1</v>
      </c>
      <c r="D10" s="7"/>
    </row>
    <row r="11" spans="1:6" x14ac:dyDescent="0.25">
      <c r="A11" s="1" t="s">
        <v>24</v>
      </c>
      <c r="B11" s="7" t="s">
        <v>1</v>
      </c>
      <c r="C11" s="7">
        <v>79103</v>
      </c>
      <c r="D11" s="7">
        <v>48000</v>
      </c>
    </row>
    <row r="12" spans="1:6" x14ac:dyDescent="0.25">
      <c r="A12" s="1" t="s">
        <v>2</v>
      </c>
      <c r="B12" s="7">
        <v>7833284</v>
      </c>
      <c r="C12" s="7">
        <v>8776451</v>
      </c>
      <c r="D12" s="7">
        <v>7049666</v>
      </c>
    </row>
    <row r="13" spans="1:6" x14ac:dyDescent="0.25">
      <c r="A13" s="1" t="s">
        <v>25</v>
      </c>
      <c r="B13" s="7" t="s">
        <v>1</v>
      </c>
      <c r="C13" s="7" t="s">
        <v>1</v>
      </c>
      <c r="D13" s="7"/>
    </row>
    <row r="14" spans="1:6" x14ac:dyDescent="0.25">
      <c r="A14" s="1" t="s">
        <v>26</v>
      </c>
      <c r="B14" s="7">
        <v>2477803</v>
      </c>
      <c r="C14" s="7">
        <v>3419242</v>
      </c>
      <c r="D14" s="7">
        <v>2264972</v>
      </c>
    </row>
    <row r="15" spans="1:6" x14ac:dyDescent="0.25">
      <c r="A15" s="1" t="s">
        <v>27</v>
      </c>
      <c r="B15" s="7">
        <v>232355</v>
      </c>
      <c r="C15" s="7">
        <v>31157</v>
      </c>
      <c r="D15" s="7">
        <v>210272</v>
      </c>
    </row>
    <row r="16" spans="1:6" x14ac:dyDescent="0.25">
      <c r="A16" s="1" t="s">
        <v>28</v>
      </c>
      <c r="B16" s="7">
        <v>3050344</v>
      </c>
      <c r="C16" s="7">
        <v>2789883</v>
      </c>
      <c r="D16" s="7">
        <v>2668750</v>
      </c>
    </row>
    <row r="17" spans="1:4" x14ac:dyDescent="0.25">
      <c r="A17" s="1" t="s">
        <v>11</v>
      </c>
      <c r="B17" s="7">
        <v>2568440</v>
      </c>
      <c r="C17" s="7">
        <v>2343840</v>
      </c>
      <c r="D17" s="7">
        <v>2297719</v>
      </c>
    </row>
    <row r="18" spans="1:4" x14ac:dyDescent="0.25">
      <c r="A18" s="1" t="s">
        <v>12</v>
      </c>
      <c r="B18" s="7">
        <v>481904</v>
      </c>
      <c r="C18" s="7">
        <v>446043</v>
      </c>
      <c r="D18" s="7">
        <v>371031</v>
      </c>
    </row>
    <row r="19" spans="1:4" x14ac:dyDescent="0.25">
      <c r="A19" s="1" t="s">
        <v>29</v>
      </c>
      <c r="B19" s="7">
        <v>903352</v>
      </c>
      <c r="C19" s="7">
        <v>1158948</v>
      </c>
      <c r="D19" s="7">
        <v>857833</v>
      </c>
    </row>
    <row r="20" spans="1:4" x14ac:dyDescent="0.25">
      <c r="A20" s="1" t="s">
        <v>30</v>
      </c>
      <c r="B20" s="7">
        <v>837155</v>
      </c>
      <c r="C20" s="7">
        <v>801797</v>
      </c>
      <c r="D20" s="7">
        <v>611005</v>
      </c>
    </row>
    <row r="21" spans="1:4" x14ac:dyDescent="0.25">
      <c r="A21" s="1" t="s">
        <v>31</v>
      </c>
      <c r="B21" s="7">
        <v>837155</v>
      </c>
      <c r="C21" s="7">
        <v>801797</v>
      </c>
      <c r="D21" s="7">
        <v>611005</v>
      </c>
    </row>
    <row r="22" spans="1:4" x14ac:dyDescent="0.25">
      <c r="A22" s="1" t="s">
        <v>3</v>
      </c>
      <c r="B22" s="7">
        <v>837155</v>
      </c>
      <c r="C22" s="7">
        <v>801797</v>
      </c>
      <c r="D22" s="7">
        <v>611005</v>
      </c>
    </row>
    <row r="23" spans="1:4" x14ac:dyDescent="0.25">
      <c r="A23" s="1" t="s">
        <v>4</v>
      </c>
      <c r="B23" s="7" t="s">
        <v>1</v>
      </c>
      <c r="C23" s="7" t="s">
        <v>1</v>
      </c>
      <c r="D23" s="7"/>
    </row>
    <row r="24" spans="1:4" x14ac:dyDescent="0.25">
      <c r="A24" s="1" t="s">
        <v>5</v>
      </c>
      <c r="B24" s="7" t="s">
        <v>1</v>
      </c>
      <c r="C24" s="7" t="s">
        <v>1</v>
      </c>
      <c r="D24" s="7"/>
    </row>
    <row r="25" spans="1:4" x14ac:dyDescent="0.25">
      <c r="A25" s="1" t="s">
        <v>6</v>
      </c>
      <c r="B25" s="7" t="s">
        <v>1</v>
      </c>
      <c r="C25" s="7" t="s">
        <v>1</v>
      </c>
      <c r="D25" s="7"/>
    </row>
    <row r="26" spans="1:4" x14ac:dyDescent="0.25">
      <c r="A26" s="1" t="s">
        <v>32</v>
      </c>
      <c r="B26" s="7" t="s">
        <v>1</v>
      </c>
      <c r="C26" s="7" t="s">
        <v>1</v>
      </c>
      <c r="D26" s="7"/>
    </row>
    <row r="27" spans="1:4" x14ac:dyDescent="0.25">
      <c r="A27" s="1" t="s">
        <v>33</v>
      </c>
      <c r="B27" s="7">
        <v>313092</v>
      </c>
      <c r="C27" s="7">
        <v>272785</v>
      </c>
      <c r="D27" s="7">
        <v>425426</v>
      </c>
    </row>
    <row r="28" spans="1:4" x14ac:dyDescent="0.25">
      <c r="A28" s="1" t="s">
        <v>34</v>
      </c>
      <c r="B28" s="7">
        <v>19183</v>
      </c>
      <c r="C28" s="7">
        <v>22226</v>
      </c>
      <c r="D28" s="7">
        <v>11363</v>
      </c>
    </row>
    <row r="29" spans="1:4" x14ac:dyDescent="0.25">
      <c r="A29" s="1" t="s">
        <v>35</v>
      </c>
      <c r="B29" s="7" t="s">
        <v>1</v>
      </c>
      <c r="C29" s="7" t="s">
        <v>1</v>
      </c>
      <c r="D29" s="7"/>
    </row>
    <row r="30" spans="1:4" x14ac:dyDescent="0.25">
      <c r="A30" s="1" t="s">
        <v>36</v>
      </c>
      <c r="B30" s="7">
        <v>3110056</v>
      </c>
      <c r="C30" s="7">
        <v>2218560</v>
      </c>
      <c r="D30" s="7">
        <v>334988</v>
      </c>
    </row>
    <row r="31" spans="1:4" x14ac:dyDescent="0.25">
      <c r="A31" s="1" t="s">
        <v>37</v>
      </c>
      <c r="B31" s="7" t="s">
        <v>1</v>
      </c>
      <c r="C31" s="7" t="s">
        <v>1</v>
      </c>
      <c r="D31" s="7"/>
    </row>
    <row r="32" spans="1:4" x14ac:dyDescent="0.25">
      <c r="A32" s="1" t="s">
        <v>38</v>
      </c>
      <c r="B32" s="7">
        <v>63721</v>
      </c>
      <c r="C32" s="7">
        <v>21166</v>
      </c>
      <c r="D32" s="7">
        <v>0</v>
      </c>
    </row>
    <row r="33" spans="1:4" x14ac:dyDescent="0.25">
      <c r="A33" s="1" t="s">
        <v>39</v>
      </c>
      <c r="B33" s="7">
        <v>5949</v>
      </c>
      <c r="C33" s="7">
        <v>2173</v>
      </c>
      <c r="D33" s="7">
        <v>0</v>
      </c>
    </row>
    <row r="34" spans="1:4" x14ac:dyDescent="0.25">
      <c r="A34" s="1" t="s">
        <v>40</v>
      </c>
      <c r="B34" s="7" t="s">
        <v>1</v>
      </c>
      <c r="C34" s="7" t="s">
        <v>1</v>
      </c>
      <c r="D34" s="7"/>
    </row>
    <row r="35" spans="1:4" x14ac:dyDescent="0.25">
      <c r="A35" s="1" t="s">
        <v>41</v>
      </c>
      <c r="B35" s="7" t="s">
        <v>1</v>
      </c>
      <c r="C35" s="7" t="s">
        <v>1</v>
      </c>
      <c r="D35" s="7"/>
    </row>
    <row r="36" spans="1:4" x14ac:dyDescent="0.25">
      <c r="A36" s="1" t="s">
        <v>42</v>
      </c>
      <c r="B36" s="7">
        <v>4231</v>
      </c>
      <c r="C36" s="7">
        <v>18993</v>
      </c>
      <c r="D36" s="7"/>
    </row>
    <row r="37" spans="1:4" x14ac:dyDescent="0.25">
      <c r="A37" s="1" t="s">
        <v>7</v>
      </c>
      <c r="B37" s="7">
        <v>499</v>
      </c>
      <c r="C37" s="7">
        <v>482</v>
      </c>
      <c r="D37" s="7">
        <v>637</v>
      </c>
    </row>
    <row r="38" spans="1:4" x14ac:dyDescent="0.25">
      <c r="A38" s="1" t="s">
        <v>43</v>
      </c>
      <c r="B38" s="7">
        <v>43</v>
      </c>
      <c r="C38" s="7" t="s">
        <v>1</v>
      </c>
      <c r="D38" s="7"/>
    </row>
    <row r="39" spans="1:4" x14ac:dyDescent="0.25">
      <c r="A39" s="1" t="s">
        <v>44</v>
      </c>
      <c r="B39" s="7">
        <v>456</v>
      </c>
      <c r="C39" s="7">
        <v>482</v>
      </c>
      <c r="D39" s="7">
        <v>637</v>
      </c>
    </row>
    <row r="40" spans="1:4" x14ac:dyDescent="0.25">
      <c r="A40" s="1" t="s">
        <v>45</v>
      </c>
      <c r="B40" s="7" t="s">
        <v>1</v>
      </c>
      <c r="C40" s="7" t="s">
        <v>1</v>
      </c>
      <c r="D40" s="7"/>
    </row>
    <row r="41" spans="1:4" x14ac:dyDescent="0.25">
      <c r="A41" s="1" t="s">
        <v>46</v>
      </c>
      <c r="B41" s="7" t="s">
        <v>1</v>
      </c>
      <c r="C41" s="7" t="s">
        <v>1</v>
      </c>
      <c r="D41" s="7"/>
    </row>
    <row r="42" spans="1:4" x14ac:dyDescent="0.25">
      <c r="A42" s="1" t="s">
        <v>47</v>
      </c>
      <c r="B42" s="7">
        <v>3173278</v>
      </c>
      <c r="C42" s="7">
        <v>2234906</v>
      </c>
      <c r="D42" s="7">
        <v>334351</v>
      </c>
    </row>
    <row r="43" spans="1:4" x14ac:dyDescent="0.25">
      <c r="A43" s="1" t="s">
        <v>48</v>
      </c>
      <c r="B43" s="7" t="s">
        <v>1</v>
      </c>
      <c r="C43" s="7" t="s">
        <v>1</v>
      </c>
      <c r="D43" s="7"/>
    </row>
    <row r="44" spans="1:4" x14ac:dyDescent="0.25">
      <c r="A44" s="1" t="s">
        <v>49</v>
      </c>
      <c r="B44" s="7">
        <v>101503</v>
      </c>
      <c r="C44" s="7">
        <v>29728</v>
      </c>
      <c r="D44" s="7">
        <v>66857</v>
      </c>
    </row>
    <row r="45" spans="1:4" x14ac:dyDescent="0.25">
      <c r="A45" s="1" t="s">
        <v>50</v>
      </c>
      <c r="B45" s="7" t="s">
        <v>1</v>
      </c>
      <c r="C45" s="7" t="s">
        <v>1</v>
      </c>
      <c r="D45" s="7"/>
    </row>
    <row r="46" spans="1:4" x14ac:dyDescent="0.25">
      <c r="A46" s="1" t="s">
        <v>51</v>
      </c>
      <c r="B46" s="7" t="s">
        <v>1</v>
      </c>
      <c r="C46" s="7" t="s">
        <v>1</v>
      </c>
      <c r="D46" s="7"/>
    </row>
    <row r="47" spans="1:4" x14ac:dyDescent="0.25">
      <c r="A47" s="1" t="s">
        <v>52</v>
      </c>
      <c r="B47" s="7" t="s">
        <v>1</v>
      </c>
      <c r="C47" s="7" t="s">
        <v>1</v>
      </c>
      <c r="D47" s="7"/>
    </row>
    <row r="48" spans="1:4" x14ac:dyDescent="0.25">
      <c r="A48" s="1" t="s">
        <v>53</v>
      </c>
      <c r="B48" s="7" t="s">
        <v>1</v>
      </c>
      <c r="C48" s="7" t="s">
        <v>1</v>
      </c>
      <c r="D48" s="7"/>
    </row>
    <row r="49" spans="1:4" x14ac:dyDescent="0.25">
      <c r="A49" s="1" t="s">
        <v>54</v>
      </c>
      <c r="B49" s="7" t="s">
        <v>1</v>
      </c>
      <c r="C49" s="7" t="s">
        <v>1</v>
      </c>
      <c r="D49" s="7"/>
    </row>
    <row r="50" spans="1:4" x14ac:dyDescent="0.25">
      <c r="A50" s="1" t="s">
        <v>55</v>
      </c>
      <c r="B50" s="7" t="s">
        <v>1</v>
      </c>
      <c r="C50" s="7" t="s">
        <v>1</v>
      </c>
      <c r="D50" s="7"/>
    </row>
    <row r="51" spans="1:4" x14ac:dyDescent="0.25">
      <c r="A51" s="1" t="s">
        <v>56</v>
      </c>
      <c r="B51" s="7" t="s">
        <v>1</v>
      </c>
      <c r="C51" s="7" t="s">
        <v>1</v>
      </c>
      <c r="D51" s="7"/>
    </row>
    <row r="52" spans="1:4" x14ac:dyDescent="0.25">
      <c r="A52" s="1" t="s">
        <v>57</v>
      </c>
      <c r="B52" s="7">
        <v>101503</v>
      </c>
      <c r="C52" s="7">
        <v>29728</v>
      </c>
      <c r="D52" s="7">
        <v>66857</v>
      </c>
    </row>
    <row r="53" spans="1:4" x14ac:dyDescent="0.25">
      <c r="A53" s="1" t="s">
        <v>58</v>
      </c>
      <c r="B53" s="7" t="s">
        <v>1</v>
      </c>
      <c r="C53" s="7" t="s">
        <v>1</v>
      </c>
      <c r="D53" s="7"/>
    </row>
    <row r="54" spans="1:4" x14ac:dyDescent="0.25">
      <c r="A54" s="1" t="s">
        <v>8</v>
      </c>
      <c r="B54" s="7">
        <v>5241</v>
      </c>
      <c r="C54" s="7">
        <v>23893</v>
      </c>
      <c r="D54" s="7">
        <v>281171</v>
      </c>
    </row>
    <row r="55" spans="1:4" x14ac:dyDescent="0.25">
      <c r="A55" s="1" t="s">
        <v>59</v>
      </c>
      <c r="B55" s="7" t="s">
        <v>1</v>
      </c>
      <c r="C55" s="7">
        <v>226</v>
      </c>
      <c r="D55" s="7">
        <v>274022</v>
      </c>
    </row>
    <row r="56" spans="1:4" x14ac:dyDescent="0.25">
      <c r="A56" s="1" t="s">
        <v>60</v>
      </c>
      <c r="B56" s="7" t="s">
        <v>1</v>
      </c>
      <c r="C56" s="7" t="s">
        <v>1</v>
      </c>
      <c r="D56" s="7"/>
    </row>
    <row r="57" spans="1:4" x14ac:dyDescent="0.25">
      <c r="A57" s="1" t="s">
        <v>61</v>
      </c>
      <c r="B57" s="7" t="s">
        <v>1</v>
      </c>
      <c r="C57" s="7" t="s">
        <v>1</v>
      </c>
      <c r="D57" s="7"/>
    </row>
    <row r="58" spans="1:4" x14ac:dyDescent="0.25">
      <c r="A58" s="1" t="s">
        <v>62</v>
      </c>
      <c r="B58" s="7" t="s">
        <v>1</v>
      </c>
      <c r="C58" s="7" t="s">
        <v>1</v>
      </c>
      <c r="D58" s="7"/>
    </row>
    <row r="59" spans="1:4" x14ac:dyDescent="0.25">
      <c r="A59" s="1" t="s">
        <v>63</v>
      </c>
      <c r="B59" s="7" t="s">
        <v>1</v>
      </c>
      <c r="C59" s="7" t="s">
        <v>1</v>
      </c>
      <c r="D59" s="7"/>
    </row>
    <row r="60" spans="1:4" x14ac:dyDescent="0.25">
      <c r="A60" s="1" t="s">
        <v>64</v>
      </c>
      <c r="B60" s="7" t="s">
        <v>1</v>
      </c>
      <c r="C60" s="7" t="s">
        <v>1</v>
      </c>
      <c r="D60" s="7"/>
    </row>
    <row r="61" spans="1:4" x14ac:dyDescent="0.25">
      <c r="A61" s="1" t="s">
        <v>65</v>
      </c>
      <c r="B61" s="7" t="s">
        <v>1</v>
      </c>
      <c r="C61" s="7" t="s">
        <v>1</v>
      </c>
      <c r="D61" s="7"/>
    </row>
    <row r="62" spans="1:4" x14ac:dyDescent="0.25">
      <c r="A62" s="1" t="s">
        <v>66</v>
      </c>
      <c r="B62" s="7" t="s">
        <v>1</v>
      </c>
      <c r="C62" s="7" t="s">
        <v>1</v>
      </c>
      <c r="D62" s="7"/>
    </row>
    <row r="63" spans="1:4" x14ac:dyDescent="0.25">
      <c r="A63" s="1" t="s">
        <v>67</v>
      </c>
      <c r="B63" s="7">
        <v>5241</v>
      </c>
      <c r="C63" s="7">
        <v>21633</v>
      </c>
      <c r="D63" s="7">
        <v>7149</v>
      </c>
    </row>
    <row r="64" spans="1:4" x14ac:dyDescent="0.25">
      <c r="A64" s="1" t="s">
        <v>88</v>
      </c>
      <c r="B64" s="7">
        <v>96262</v>
      </c>
      <c r="C64" s="7">
        <v>5835</v>
      </c>
      <c r="D64" s="7"/>
    </row>
    <row r="65" spans="1:4" x14ac:dyDescent="0.25">
      <c r="A65" s="1" t="s">
        <v>68</v>
      </c>
      <c r="B65" s="7" t="s">
        <v>1</v>
      </c>
      <c r="C65" s="7" t="s">
        <v>1</v>
      </c>
      <c r="D65" s="7">
        <v>214314</v>
      </c>
    </row>
    <row r="66" spans="1:4" ht="30" x14ac:dyDescent="0.25">
      <c r="A66" s="2" t="s">
        <v>69</v>
      </c>
      <c r="B66" s="7" t="s">
        <v>1</v>
      </c>
      <c r="C66" s="7" t="s">
        <v>1</v>
      </c>
      <c r="D66" s="7"/>
    </row>
    <row r="67" spans="1:4" x14ac:dyDescent="0.25">
      <c r="A67" s="1" t="s">
        <v>70</v>
      </c>
      <c r="B67" s="7" t="s">
        <v>1</v>
      </c>
      <c r="C67" s="7" t="s">
        <v>1</v>
      </c>
      <c r="D67" s="7"/>
    </row>
    <row r="68" spans="1:4" x14ac:dyDescent="0.25">
      <c r="A68" s="1" t="s">
        <v>13</v>
      </c>
      <c r="B68" s="7" t="s">
        <v>1</v>
      </c>
      <c r="C68" s="7" t="s">
        <v>1</v>
      </c>
      <c r="D68" s="7"/>
    </row>
    <row r="69" spans="1:4" x14ac:dyDescent="0.25">
      <c r="A69" s="1" t="s">
        <v>71</v>
      </c>
      <c r="B69" s="7" t="s">
        <v>1</v>
      </c>
      <c r="C69" s="7" t="s">
        <v>1</v>
      </c>
      <c r="D69" s="7"/>
    </row>
    <row r="70" spans="1:4" x14ac:dyDescent="0.25">
      <c r="A70" s="1" t="s">
        <v>72</v>
      </c>
      <c r="B70" s="7" t="s">
        <v>1</v>
      </c>
      <c r="C70" s="7" t="s">
        <v>1</v>
      </c>
      <c r="D70" s="7"/>
    </row>
    <row r="71" spans="1:4" x14ac:dyDescent="0.25">
      <c r="A71" s="1" t="s">
        <v>73</v>
      </c>
      <c r="B71" s="7" t="s">
        <v>1</v>
      </c>
      <c r="C71" s="7" t="s">
        <v>1</v>
      </c>
      <c r="D71" s="7"/>
    </row>
    <row r="72" spans="1:4" x14ac:dyDescent="0.25">
      <c r="A72" s="1" t="s">
        <v>74</v>
      </c>
      <c r="B72" s="7" t="s">
        <v>1</v>
      </c>
      <c r="C72" s="7" t="s">
        <v>1</v>
      </c>
      <c r="D72" s="7"/>
    </row>
    <row r="73" spans="1:4" x14ac:dyDescent="0.25">
      <c r="A73" s="1" t="s">
        <v>75</v>
      </c>
      <c r="B73" s="7" t="s">
        <v>1</v>
      </c>
      <c r="C73" s="7" t="s">
        <v>1</v>
      </c>
      <c r="D73" s="7"/>
    </row>
    <row r="74" spans="1:4" x14ac:dyDescent="0.25">
      <c r="A74" s="1" t="s">
        <v>76</v>
      </c>
      <c r="B74" s="7" t="s">
        <v>1</v>
      </c>
      <c r="C74" s="7" t="s">
        <v>1</v>
      </c>
      <c r="D74" s="7"/>
    </row>
    <row r="75" spans="1:4" x14ac:dyDescent="0.25">
      <c r="A75" s="1" t="s">
        <v>77</v>
      </c>
      <c r="B75" s="7" t="s">
        <v>1</v>
      </c>
      <c r="C75" s="7" t="s">
        <v>1</v>
      </c>
      <c r="D75" s="7"/>
    </row>
    <row r="76" spans="1:4" x14ac:dyDescent="0.25">
      <c r="A76" s="1" t="s">
        <v>78</v>
      </c>
      <c r="B76" s="7" t="s">
        <v>1</v>
      </c>
      <c r="C76" s="7" t="s">
        <v>1</v>
      </c>
      <c r="D76" s="7"/>
    </row>
    <row r="77" spans="1:4" x14ac:dyDescent="0.25">
      <c r="A77" s="1" t="s">
        <v>79</v>
      </c>
      <c r="B77" s="7" t="s">
        <v>1</v>
      </c>
      <c r="C77" s="7" t="s">
        <v>1</v>
      </c>
      <c r="D77" s="7"/>
    </row>
    <row r="78" spans="1:4" x14ac:dyDescent="0.25">
      <c r="A78" s="1" t="s">
        <v>14</v>
      </c>
      <c r="B78" s="7" t="s">
        <v>1</v>
      </c>
      <c r="C78" s="7" t="s">
        <v>1</v>
      </c>
      <c r="D78" s="7"/>
    </row>
    <row r="79" spans="1:4" x14ac:dyDescent="0.25">
      <c r="A79" s="1" t="s">
        <v>15</v>
      </c>
      <c r="B79" s="7" t="s">
        <v>1</v>
      </c>
      <c r="C79" s="7" t="s">
        <v>1</v>
      </c>
      <c r="D79" s="7"/>
    </row>
    <row r="80" spans="1:4" x14ac:dyDescent="0.25">
      <c r="A80" s="1" t="s">
        <v>9</v>
      </c>
      <c r="B80" s="7">
        <v>11108564</v>
      </c>
      <c r="C80" s="7">
        <v>11045905</v>
      </c>
      <c r="D80" s="7">
        <v>7451511</v>
      </c>
    </row>
    <row r="81" spans="1:4" x14ac:dyDescent="0.25">
      <c r="A81" s="1" t="s">
        <v>10</v>
      </c>
      <c r="B81" s="7">
        <v>7839024</v>
      </c>
      <c r="C81" s="7">
        <v>8805164</v>
      </c>
      <c r="D81" s="7">
        <v>7331474</v>
      </c>
    </row>
    <row r="82" spans="1:4" x14ac:dyDescent="0.25">
      <c r="A82" s="1" t="s">
        <v>80</v>
      </c>
      <c r="B82" s="7">
        <v>3269540</v>
      </c>
      <c r="C82" s="7">
        <v>2240741</v>
      </c>
      <c r="D82" s="7">
        <v>120037</v>
      </c>
    </row>
    <row r="83" spans="1:4" x14ac:dyDescent="0.25">
      <c r="A83" s="1" t="s">
        <v>81</v>
      </c>
      <c r="B83" s="7" t="s">
        <v>1</v>
      </c>
      <c r="C83" s="7" t="s">
        <v>1</v>
      </c>
      <c r="D83" s="7"/>
    </row>
    <row r="84" spans="1:4" x14ac:dyDescent="0.25">
      <c r="A84" s="1" t="s">
        <v>82</v>
      </c>
      <c r="B84" s="7">
        <v>332947</v>
      </c>
      <c r="C84" s="7">
        <v>166443</v>
      </c>
      <c r="D84" s="7">
        <v>0</v>
      </c>
    </row>
    <row r="85" spans="1:4" x14ac:dyDescent="0.25">
      <c r="A85" s="1" t="s">
        <v>83</v>
      </c>
      <c r="B85" s="7" t="s">
        <v>1</v>
      </c>
      <c r="C85" s="7" t="s">
        <v>1</v>
      </c>
      <c r="D85" s="7"/>
    </row>
    <row r="86" spans="1:4" x14ac:dyDescent="0.25">
      <c r="A86" s="1" t="s">
        <v>89</v>
      </c>
      <c r="B86" s="7" t="s">
        <v>1</v>
      </c>
      <c r="C86" s="7" t="s">
        <v>1</v>
      </c>
      <c r="D86" s="7"/>
    </row>
    <row r="87" spans="1:4" x14ac:dyDescent="0.25">
      <c r="A87" s="1" t="s">
        <v>90</v>
      </c>
      <c r="B87" s="7" t="s">
        <v>1</v>
      </c>
      <c r="C87" s="7" t="s">
        <v>1</v>
      </c>
      <c r="D87" s="7"/>
    </row>
    <row r="88" spans="1:4" x14ac:dyDescent="0.25">
      <c r="A88" s="1" t="s">
        <v>84</v>
      </c>
      <c r="B88" s="7" t="s">
        <v>1</v>
      </c>
      <c r="C88" s="7" t="s">
        <v>1</v>
      </c>
      <c r="D88" s="7"/>
    </row>
    <row r="89" spans="1:4" x14ac:dyDescent="0.25">
      <c r="A89" s="1" t="s">
        <v>85</v>
      </c>
      <c r="B89" s="7" t="s">
        <v>1</v>
      </c>
      <c r="C89" s="7" t="s">
        <v>1</v>
      </c>
      <c r="D89" s="7"/>
    </row>
    <row r="90" spans="1:4" x14ac:dyDescent="0.25">
      <c r="A90" s="1" t="s">
        <v>86</v>
      </c>
      <c r="B90" s="7" t="s">
        <v>1</v>
      </c>
      <c r="C90" s="7" t="s">
        <v>1</v>
      </c>
      <c r="D90" s="7"/>
    </row>
    <row r="91" spans="1:4" ht="30" x14ac:dyDescent="0.25">
      <c r="A91" s="2" t="s">
        <v>91</v>
      </c>
      <c r="B91" s="7">
        <f>B82-B84</f>
        <v>2936593</v>
      </c>
      <c r="C91" s="7">
        <v>2074298</v>
      </c>
      <c r="D91" s="7">
        <v>120037</v>
      </c>
    </row>
    <row r="92" spans="1:4" x14ac:dyDescent="0.25">
      <c r="A92" s="1" t="s">
        <v>87</v>
      </c>
      <c r="B92" s="7" t="s">
        <v>1</v>
      </c>
      <c r="C92" s="7" t="s">
        <v>1</v>
      </c>
      <c r="D92" s="7"/>
    </row>
  </sheetData>
  <mergeCells count="4">
    <mergeCell ref="D1:D2"/>
    <mergeCell ref="A1:A2"/>
    <mergeCell ref="B1:B2"/>
    <mergeCell ref="C1:C2"/>
  </mergeCells>
  <conditionalFormatting sqref="A1:D92">
    <cfRule type="expression" dxfId="1" priority="1">
      <formula>MOD(ROW(), 2)=1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Sheet1!bilans_uspejhatxt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2024-11-20T20:43:06Z</dcterms:modified>
</cp:coreProperties>
</file>